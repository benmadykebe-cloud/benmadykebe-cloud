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Tableau de bord" sheetId="2" state="visible" r:id="rId4"/>
    <sheet name="Paramètres" sheetId="3" state="visible" r:id="rId5"/>
    <sheet name="Articles" sheetId="4" state="visible" r:id="rId6"/>
    <sheet name="ABC" sheetId="5" state="visible" r:id="rId7"/>
    <sheet name="Synthè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Coûts et quantités fictifs, pour la démonstration.</t>
        </r>
      </text>
    </comment>
  </commentList>
</comments>
</file>

<file path=xl/sharedStrings.xml><?xml version="1.0" encoding="utf-8"?>
<sst xmlns="http://schemas.openxmlformats.org/spreadsheetml/2006/main" count="138" uniqueCount="113">
  <si>
    <t xml:space="preserve">Suivi des stocks d'un service de banquet</t>
  </si>
  <si>
    <t xml:space="preserve">Projet Excel : point de commande, couverture, analyse ABC et tableau de bord. Données fictives.</t>
  </si>
  <si>
    <t xml:space="preserve">Objectif</t>
  </si>
  <si>
    <t xml:space="preserve">Savoir en un coup d'œil quels articles commander, lesquels sont en surstock, et où se concentre la valeur du stock.</t>
  </si>
  <si>
    <t xml:space="preserve">Onglets</t>
  </si>
  <si>
    <t xml:space="preserve">Paramètres : les règles de gestion modifiables.  Articles : la base de données et tous les calculs.  ABC : classement des articles par coût annuel.  Synthèse : petits tableaux qui alimentent les graphiques.  Tableau de bord : indicateurs et graphiques.</t>
  </si>
  <si>
    <t xml:space="preserve">Pour l'utiliser</t>
  </si>
  <si>
    <t xml:space="preserve">Modifiez seulement les cellules en texte bleu (paramètres, coûts, délais, stocks et sorties mensuelles). Tout le reste se recalcule.</t>
  </si>
  <si>
    <t xml:space="preserve">Légende</t>
  </si>
  <si>
    <t xml:space="preserve">Texte bleu = donnée saisie.  Texte noir = formule.  Statut en rouge = rupture, orange = à commander, bleu = surstock, vert = niveau correct.</t>
  </si>
  <si>
    <t xml:space="preserve">Note sur les données</t>
  </si>
  <si>
    <t xml:space="preserve">Les articles, les quantités et les coûts sont inventés pour la démonstration. Ils ne proviennent d'aucune entreprise.</t>
  </si>
  <si>
    <t xml:space="preserve">Tableau de bord : stocks du service de banquet</t>
  </si>
  <si>
    <t xml:space="preserve">Données fictives, janvier à juin. Se met à jour quand on modifie l'onglet Articles.</t>
  </si>
  <si>
    <t xml:space="preserve">Valeur du stock</t>
  </si>
  <si>
    <t xml:space="preserve">Articles à commander ou en rupture</t>
  </si>
  <si>
    <t xml:space="preserve">Montant à commander</t>
  </si>
  <si>
    <t xml:space="preserve">Couverture moyenne (jours)</t>
  </si>
  <si>
    <t xml:space="preserve">Articles en surstock</t>
  </si>
  <si>
    <t xml:space="preserve">Lecture : barres rouge et orange = articles à commander maintenant ; barres bleues = surstock à ne pas recommander. La courbe orange de l'analyse ABC montre que quelques articles concentrent l'essentiel du coût.</t>
  </si>
  <si>
    <t xml:space="preserve">Paramètres de gestion</t>
  </si>
  <si>
    <t xml:space="preserve">Modifiez les valeurs en bleu : tous les calculs du classeur suivent.</t>
  </si>
  <si>
    <t xml:space="preserve">Paramètre</t>
  </si>
  <si>
    <t xml:space="preserve">Valeur</t>
  </si>
  <si>
    <t xml:space="preserve">Rôle</t>
  </si>
  <si>
    <t xml:space="preserve">Jours par mois</t>
  </si>
  <si>
    <t xml:space="preserve">Convertit la sortie mensuelle en sortie quotidienne.</t>
  </si>
  <si>
    <t xml:space="preserve">Jours de stock de sécurité</t>
  </si>
  <si>
    <t xml:space="preserve">Réserve qui couvre les hausses de demande ou un retard de livraison.</t>
  </si>
  <si>
    <t xml:space="preserve">Couverture cible (jours)</t>
  </si>
  <si>
    <t xml:space="preserve">Quand on commande, on remonte le stock jusqu'à ce nombre de jours de sorties.</t>
  </si>
  <si>
    <t xml:space="preserve">Couverture maximale (jours)</t>
  </si>
  <si>
    <t xml:space="preserve">Au-delà, l'article est en surstock.</t>
  </si>
  <si>
    <t xml:space="preserve">Seuil de la classe A</t>
  </si>
  <si>
    <t xml:space="preserve">Les articles qui font les premiers 80 % du coût annuel.</t>
  </si>
  <si>
    <t xml:space="preserve">Seuil de la classe B</t>
  </si>
  <si>
    <t xml:space="preserve">Jusqu'à 95 % du coût annuel ; le reste est en classe C.</t>
  </si>
  <si>
    <t xml:space="preserve">Articles et calculs</t>
  </si>
  <si>
    <t xml:space="preserve">Colonnes G à L : sorties mensuelles (janvier à juin, fictives). Les colonnes M à V sont des formules.</t>
  </si>
  <si>
    <t xml:space="preserve">ID</t>
  </si>
  <si>
    <t xml:space="preserve">Article</t>
  </si>
  <si>
    <t xml:space="preserve">Catégorie</t>
  </si>
  <si>
    <t xml:space="preserve">Coût unitaire ($)</t>
  </si>
  <si>
    <t xml:space="preserve">Délai de livraison (jours)</t>
  </si>
  <si>
    <t xml:space="preserve">Stock actuel</t>
  </si>
  <si>
    <t xml:space="preserve">Janv.</t>
  </si>
  <si>
    <t xml:space="preserve">Févr.</t>
  </si>
  <si>
    <t xml:space="preserve">Mars</t>
  </si>
  <si>
    <t xml:space="preserve">Avr.</t>
  </si>
  <si>
    <t xml:space="preserve">Mai</t>
  </si>
  <si>
    <t xml:space="preserve">Juin</t>
  </si>
  <si>
    <t xml:space="preserve">Sortie moyenne par mois</t>
  </si>
  <si>
    <t xml:space="preserve">Sortie par jour</t>
  </si>
  <si>
    <t xml:space="preserve">Stock de sécurité</t>
  </si>
  <si>
    <t xml:space="preserve">Point de commande</t>
  </si>
  <si>
    <t xml:space="preserve">Couverture (jours)</t>
  </si>
  <si>
    <t xml:space="preserve">Statut</t>
  </si>
  <si>
    <t xml:space="preserve">Quantité à commander</t>
  </si>
  <si>
    <t xml:space="preserve">Montant à commander ($)</t>
  </si>
  <si>
    <t xml:space="preserve">Valeur du stock ($)</t>
  </si>
  <si>
    <t xml:space="preserve">Coût annuel des sorties ($)</t>
  </si>
  <si>
    <t xml:space="preserve">ART-01</t>
  </si>
  <si>
    <t xml:space="preserve">Nappes rondes blanches</t>
  </si>
  <si>
    <t xml:space="preserve">Linge</t>
  </si>
  <si>
    <t xml:space="preserve">ART-02</t>
  </si>
  <si>
    <t xml:space="preserve">Serviettes de table en tissu</t>
  </si>
  <si>
    <t xml:space="preserve">ART-03</t>
  </si>
  <si>
    <t xml:space="preserve">Housses de chaise</t>
  </si>
  <si>
    <t xml:space="preserve">ART-04</t>
  </si>
  <si>
    <t xml:space="preserve">Assiettes plates</t>
  </si>
  <si>
    <t xml:space="preserve">Vaisselle</t>
  </si>
  <si>
    <t xml:space="preserve">ART-05</t>
  </si>
  <si>
    <t xml:space="preserve">Assiettes à dessert</t>
  </si>
  <si>
    <t xml:space="preserve">ART-06</t>
  </si>
  <si>
    <t xml:space="preserve">Bols à soupe</t>
  </si>
  <si>
    <t xml:space="preserve">ART-07</t>
  </si>
  <si>
    <t xml:space="preserve">Fourchettes</t>
  </si>
  <si>
    <t xml:space="preserve">ART-08</t>
  </si>
  <si>
    <t xml:space="preserve">Couteaux</t>
  </si>
  <si>
    <t xml:space="preserve">ART-09</t>
  </si>
  <si>
    <t xml:space="preserve">Verres à vin</t>
  </si>
  <si>
    <t xml:space="preserve">Verrerie</t>
  </si>
  <si>
    <t xml:space="preserve">ART-10</t>
  </si>
  <si>
    <t xml:space="preserve">Flûtes à champagne</t>
  </si>
  <si>
    <t xml:space="preserve">ART-11</t>
  </si>
  <si>
    <t xml:space="preserve">Verres à eau</t>
  </si>
  <si>
    <t xml:space="preserve">ART-12</t>
  </si>
  <si>
    <t xml:space="preserve">Chandelles</t>
  </si>
  <si>
    <t xml:space="preserve">Consommables</t>
  </si>
  <si>
    <t xml:space="preserve">ART-13</t>
  </si>
  <si>
    <t xml:space="preserve">Serviettes en papier (100)</t>
  </si>
  <si>
    <t xml:space="preserve">ART-14</t>
  </si>
  <si>
    <t xml:space="preserve">Sacs à ordures (boîte)</t>
  </si>
  <si>
    <t xml:space="preserve">ART-15</t>
  </si>
  <si>
    <t xml:space="preserve">Détergent à vaisselle (bidon)</t>
  </si>
  <si>
    <t xml:space="preserve">Entretien</t>
  </si>
  <si>
    <t xml:space="preserve">Total</t>
  </si>
  <si>
    <t xml:space="preserve">Analyse ABC</t>
  </si>
  <si>
    <t xml:space="preserve">Articles classés du plus coûteux au moins coûteux (coût annuel des sorties). Classe A = articles à surveiller en priorité.</t>
  </si>
  <si>
    <t xml:space="preserve">Rang</t>
  </si>
  <si>
    <t xml:space="preserve">Coût annuel ($)</t>
  </si>
  <si>
    <t xml:space="preserve">Part du total</t>
  </si>
  <si>
    <t xml:space="preserve">Part cumulée</t>
  </si>
  <si>
    <t xml:space="preserve">Classe</t>
  </si>
  <si>
    <t xml:space="preserve">Synthèse pour les graphiques</t>
  </si>
  <si>
    <t xml:space="preserve">Petits tableaux calculés automatiquement. Ne pas modifier.</t>
  </si>
  <si>
    <t xml:space="preserve">Nombre d'articles</t>
  </si>
  <si>
    <t xml:space="preserve">Mois</t>
  </si>
  <si>
    <t xml:space="preserve">Valeur des sorties ($)</t>
  </si>
  <si>
    <t xml:space="preserve">Rupture</t>
  </si>
  <si>
    <t xml:space="preserve">À commander</t>
  </si>
  <si>
    <t xml:space="preserve">OK</t>
  </si>
  <si>
    <t xml:space="preserve">Surstock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</si>
</sst>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$&quot;"/>
    <numFmt numFmtId="166" formatCode="0"/>
    <numFmt numFmtId="167" formatCode="#,##0"/>
    <numFmt numFmtId="168" formatCode="0%"/>
    <numFmt numFmtId="169" formatCode="#,##0.00"/>
    <numFmt numFmtId="170" formatCode="#,##0.0"/>
    <numFmt numFmtId="171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5276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A5276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EA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B03A2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9770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5DADE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E844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A527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D9D9D9"/>
      <rgbColor rgb="FF878787"/>
      <rgbColor rgb="FF9999FF"/>
      <rgbColor rgb="FF993366"/>
      <rgbColor rgb="FFFFFFCC"/>
      <rgbColor rgb="FFEAF2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DADE2"/>
      <rgbColor rgb="FF99CC00"/>
      <rgbColor rgb="FFFFCC00"/>
      <rgbColor rgb="FFFF9900"/>
      <rgbColor rgb="FFFF6600"/>
      <rgbColor rgb="FF666699"/>
      <rgbColor rgb="FF7F8C8D"/>
      <rgbColor rgb="FF1A5276"/>
      <rgbColor rgb="FF1E8449"/>
      <rgbColor rgb="FF003300"/>
      <rgbColor rgb="FF333300"/>
      <rgbColor rgb="FFB0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Articles par statut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Synthèse!B4</c:f>
              <c:strCache>
                <c:ptCount val="1"/>
                <c:pt idx="0">
                  <c:v>Nombre d'articles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b03a2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b9770e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e844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5dade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Synthèse!$A$5:$A$8</c:f>
              <c:strCache>
                <c:ptCount val="4"/>
                <c:pt idx="0">
                  <c:v>Rupture</c:v>
                </c:pt>
                <c:pt idx="1">
                  <c:v>À commander</c:v>
                </c:pt>
                <c:pt idx="2">
                  <c:v>OK</c:v>
                </c:pt>
                <c:pt idx="3">
                  <c:v>Surstock</c:v>
                </c:pt>
              </c:strCache>
            </c:strRef>
          </c:cat>
          <c:val>
            <c:numRef>
              <c:f>Synthèse!$B$5:$B$8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</c:ser>
        <c:gapWidth val="60"/>
        <c:overlap val="0"/>
        <c:axId val="85981078"/>
        <c:axId val="62337399"/>
      </c:barChart>
      <c:catAx>
        <c:axId val="85981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37399"/>
        <c:crosses val="autoZero"/>
        <c:auto val="1"/>
        <c:lblAlgn val="ctr"/>
        <c:lblOffset val="100"/>
        <c:noMultiLvlLbl val="0"/>
      </c:catAx>
      <c:valAx>
        <c:axId val="62337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d'articles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81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Valeur du stock par catégorie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Synthèse!E4</c:f>
              <c:strCache>
                <c:ptCount val="1"/>
                <c:pt idx="0">
                  <c:v>Valeur du stock ($)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Synthèse!$D$5:$D$9</c:f>
              <c:strCache>
                <c:ptCount val="5"/>
                <c:pt idx="0">
                  <c:v>Linge</c:v>
                </c:pt>
                <c:pt idx="1">
                  <c:v>Vaisselle</c:v>
                </c:pt>
                <c:pt idx="2">
                  <c:v>Verrerie</c:v>
                </c:pt>
                <c:pt idx="3">
                  <c:v>Consommables</c:v>
                </c:pt>
                <c:pt idx="4">
                  <c:v>Entretien</c:v>
                </c:pt>
              </c:strCache>
            </c:strRef>
          </c:cat>
          <c:val>
            <c:numRef>
              <c:f>Synthèse!$E$5:$E$9</c:f>
              <c:numCache>
                <c:formatCode>#,##0</c:formatCode>
                <c:ptCount val="5"/>
                <c:pt idx="0">
                  <c:v>8139</c:v>
                </c:pt>
                <c:pt idx="1">
                  <c:v>14308</c:v>
                </c:pt>
                <c:pt idx="2">
                  <c:v>2809</c:v>
                </c:pt>
                <c:pt idx="3">
                  <c:v>3929</c:v>
                </c:pt>
                <c:pt idx="4">
                  <c:v>0</c:v>
                </c:pt>
              </c:numCache>
            </c:numRef>
          </c:val>
        </c:ser>
        <c:gapWidth val="50"/>
        <c:overlap val="0"/>
        <c:axId val="55557432"/>
        <c:axId val="1252376"/>
      </c:barChart>
      <c:catAx>
        <c:axId val="55557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2376"/>
        <c:crosses val="autoZero"/>
        <c:auto val="1"/>
        <c:lblAlgn val="ctr"/>
        <c:lblOffset val="100"/>
        <c:noMultiLvlLbl val="0"/>
      </c:catAx>
      <c:valAx>
        <c:axId val="12523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574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Valeur des sorties par mois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Synthèse!H4</c:f>
              <c:strCache>
                <c:ptCount val="1"/>
                <c:pt idx="0">
                  <c:v>Valeur des sorties ($)</c:v>
                </c:pt>
              </c:strCache>
            </c:strRef>
          </c:tx>
          <c:spPr>
            <a:solidFill>
              <a:srgbClr val="b9770e"/>
            </a:solidFill>
            <a:ln w="32040">
              <a:solidFill>
                <a:srgbClr val="b9770e"/>
              </a:solidFill>
              <a:round/>
            </a:ln>
          </c:spPr>
          <c:marker>
            <c:symbol val="circle"/>
            <c:size val="7"/>
            <c:spPr>
              <a:solidFill>
                <a:srgbClr val="b977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Synthèse!$G$5:$G$10</c:f>
              <c:strCache>
                <c:ptCount val="6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Synthèse!$H$5:$H$10</c:f>
              <c:numCache>
                <c:formatCode>#,##0</c:formatCode>
                <c:ptCount val="6"/>
                <c:pt idx="0">
                  <c:v>9113.2</c:v>
                </c:pt>
                <c:pt idx="1">
                  <c:v>8457.5</c:v>
                </c:pt>
                <c:pt idx="2">
                  <c:v>10172</c:v>
                </c:pt>
                <c:pt idx="3">
                  <c:v>13395.5</c:v>
                </c:pt>
                <c:pt idx="4">
                  <c:v>16429.4</c:v>
                </c:pt>
                <c:pt idx="5">
                  <c:v>18627.8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687289"/>
        <c:axId val="93383150"/>
      </c:lineChart>
      <c:catAx>
        <c:axId val="566872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83150"/>
        <c:crosses val="autoZero"/>
        <c:auto val="1"/>
        <c:lblAlgn val="ctr"/>
        <c:lblOffset val="100"/>
        <c:noMultiLvlLbl val="0"/>
      </c:catAx>
      <c:valAx>
        <c:axId val="93383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872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Analyse ABC : coût annuel et part cumulée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ABC!C4</c:f>
              <c:strCache>
                <c:ptCount val="1"/>
                <c:pt idx="0">
                  <c:v>Coût annuel ($)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ABC!$B$5:$B$19</c:f>
              <c:strCache>
                <c:ptCount val="15"/>
                <c:pt idx="0">
                  <c:v>Serviettes de table en tissu</c:v>
                </c:pt>
                <c:pt idx="1">
                  <c:v>Assiettes plates</c:v>
                </c:pt>
                <c:pt idx="2">
                  <c:v>Nappes rondes blanches</c:v>
                </c:pt>
                <c:pt idx="3">
                  <c:v>Assiettes à dessert</c:v>
                </c:pt>
                <c:pt idx="4">
                  <c:v>Verres à vin</c:v>
                </c:pt>
                <c:pt idx="5">
                  <c:v>Couteaux</c:v>
                </c:pt>
                <c:pt idx="6">
                  <c:v>Housses de chaise</c:v>
                </c:pt>
                <c:pt idx="7">
                  <c:v>Fourchettes</c:v>
                </c:pt>
                <c:pt idx="8">
                  <c:v>Verres à eau</c:v>
                </c:pt>
                <c:pt idx="9">
                  <c:v>Chandelles</c:v>
                </c:pt>
                <c:pt idx="10">
                  <c:v>Flûtes à champagne</c:v>
                </c:pt>
                <c:pt idx="11">
                  <c:v>Bols à soupe</c:v>
                </c:pt>
                <c:pt idx="12">
                  <c:v>Sacs à ordures (boîte)</c:v>
                </c:pt>
                <c:pt idx="13">
                  <c:v>Détergent à vaisselle (bidon)</c:v>
                </c:pt>
                <c:pt idx="14">
                  <c:v>Serviettes en papier (100)</c:v>
                </c:pt>
              </c:strCache>
            </c:strRef>
          </c:cat>
          <c:val>
            <c:numRef>
              <c:f>ABC!$C$5:$C$19</c:f>
              <c:numCache>
                <c:formatCode>#,##0</c:formatCode>
                <c:ptCount val="15"/>
                <c:pt idx="0">
                  <c:v>31500</c:v>
                </c:pt>
                <c:pt idx="1">
                  <c:v>22272</c:v>
                </c:pt>
                <c:pt idx="2">
                  <c:v>13061</c:v>
                </c:pt>
                <c:pt idx="3">
                  <c:v>12576</c:v>
                </c:pt>
                <c:pt idx="4">
                  <c:v>11736</c:v>
                </c:pt>
                <c:pt idx="5">
                  <c:v>9976</c:v>
                </c:pt>
                <c:pt idx="6">
                  <c:v>9975</c:v>
                </c:pt>
                <c:pt idx="7">
                  <c:v>9555</c:v>
                </c:pt>
                <c:pt idx="8">
                  <c:v>7896</c:v>
                </c:pt>
                <c:pt idx="9">
                  <c:v>7650</c:v>
                </c:pt>
                <c:pt idx="10">
                  <c:v>5772</c:v>
                </c:pt>
                <c:pt idx="11">
                  <c:v>3744</c:v>
                </c:pt>
                <c:pt idx="12">
                  <c:v>2784</c:v>
                </c:pt>
                <c:pt idx="13">
                  <c:v>2508</c:v>
                </c:pt>
                <c:pt idx="14">
                  <c:v>1385.8</c:v>
                </c:pt>
              </c:numCache>
            </c:numRef>
          </c:val>
        </c:ser>
        <c:gapWidth val="40"/>
        <c:overlap val="0"/>
        <c:axId val="49938635"/>
        <c:axId val="4475730"/>
      </c:barChart>
      <c:lineChart>
        <c:grouping val="standard"/>
        <c:varyColors val="0"/>
        <c:ser>
          <c:idx val="1"/>
          <c:order val="1"/>
          <c:tx>
            <c:strRef>
              <c:f>ABC!E4</c:f>
              <c:strCache>
                <c:ptCount val="1"/>
                <c:pt idx="0">
                  <c:v>Part cumulée</c:v>
                </c:pt>
              </c:strCache>
            </c:strRef>
          </c:tx>
          <c:spPr>
            <a:solidFill>
              <a:srgbClr val="b9770e"/>
            </a:solidFill>
            <a:ln w="28080">
              <a:solidFill>
                <a:srgbClr val="b9770e"/>
              </a:solidFill>
              <a:round/>
            </a:ln>
          </c:spPr>
          <c:marker>
            <c:symbol val="circle"/>
            <c:size val="5"/>
            <c:spPr>
              <a:solidFill>
                <a:srgbClr val="b977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ABC!$B$5:$B$19</c:f>
              <c:strCache>
                <c:ptCount val="15"/>
                <c:pt idx="0">
                  <c:v>Serviettes de table en tissu</c:v>
                </c:pt>
                <c:pt idx="1">
                  <c:v>Assiettes plates</c:v>
                </c:pt>
                <c:pt idx="2">
                  <c:v>Nappes rondes blanches</c:v>
                </c:pt>
                <c:pt idx="3">
                  <c:v>Assiettes à dessert</c:v>
                </c:pt>
                <c:pt idx="4">
                  <c:v>Verres à vin</c:v>
                </c:pt>
                <c:pt idx="5">
                  <c:v>Couteaux</c:v>
                </c:pt>
                <c:pt idx="6">
                  <c:v>Housses de chaise</c:v>
                </c:pt>
                <c:pt idx="7">
                  <c:v>Fourchettes</c:v>
                </c:pt>
                <c:pt idx="8">
                  <c:v>Verres à eau</c:v>
                </c:pt>
                <c:pt idx="9">
                  <c:v>Chandelles</c:v>
                </c:pt>
                <c:pt idx="10">
                  <c:v>Flûtes à champagne</c:v>
                </c:pt>
                <c:pt idx="11">
                  <c:v>Bols à soupe</c:v>
                </c:pt>
                <c:pt idx="12">
                  <c:v>Sacs à ordures (boîte)</c:v>
                </c:pt>
                <c:pt idx="13">
                  <c:v>Détergent à vaisselle (bidon)</c:v>
                </c:pt>
                <c:pt idx="14">
                  <c:v>Serviettes en papier (100)</c:v>
                </c:pt>
              </c:strCache>
            </c:strRef>
          </c:cat>
          <c:val>
            <c:numRef>
              <c:f>ABC!$E$5:$E$19</c:f>
              <c:numCache>
                <c:formatCode>0.0%</c:formatCode>
                <c:ptCount val="15"/>
                <c:pt idx="0">
                  <c:v>0.206705391664064</c:v>
                </c:pt>
                <c:pt idx="1">
                  <c:v>0.352855946684446</c:v>
                </c:pt>
                <c:pt idx="2">
                  <c:v>0.438563220351885</c:v>
                </c:pt>
                <c:pt idx="3">
                  <c:v>0.52108788719529</c:v>
                </c:pt>
                <c:pt idx="4">
                  <c:v>0.598100410260987</c:v>
                </c:pt>
                <c:pt idx="5">
                  <c:v>0.6635636796972</c:v>
                </c:pt>
                <c:pt idx="6">
                  <c:v>0.729020387057487</c:v>
                </c:pt>
                <c:pt idx="7">
                  <c:v>0.791721022528919</c:v>
                </c:pt>
                <c:pt idx="8">
                  <c:v>0.843535174039378</c:v>
                </c:pt>
                <c:pt idx="9">
                  <c:v>0.893735054872079</c:v>
                </c:pt>
                <c:pt idx="10">
                  <c:v>0.931611357116047</c:v>
                </c:pt>
                <c:pt idx="11">
                  <c:v>0.956179769382404</c:v>
                </c:pt>
                <c:pt idx="12">
                  <c:v>0.974448588759952</c:v>
                </c:pt>
                <c:pt idx="13">
                  <c:v>0.990906275181966</c:v>
                </c:pt>
                <c:pt idx="1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79002"/>
        <c:axId val="80682015"/>
      </c:lineChart>
      <c:catAx>
        <c:axId val="499386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5730"/>
        <c:crosses val="autoZero"/>
        <c:auto val="1"/>
        <c:lblAlgn val="ctr"/>
        <c:lblOffset val="100"/>
        <c:noMultiLvlLbl val="0"/>
      </c:catAx>
      <c:valAx>
        <c:axId val="4475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Coût annuel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38635"/>
        <c:crosses val="autoZero"/>
        <c:crossBetween val="between"/>
      </c:valAx>
      <c:catAx>
        <c:axId val="137900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82015"/>
        <c:crosses val="autoZero"/>
        <c:auto val="1"/>
        <c:lblAlgn val="ctr"/>
        <c:lblOffset val="100"/>
        <c:noMultiLvlLbl val="0"/>
      </c:catAx>
      <c:valAx>
        <c:axId val="80682015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Part cumulée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900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130680</xdr:rowOff>
    </xdr:from>
    <xdr:to>
      <xdr:col>4</xdr:col>
      <xdr:colOff>798480</xdr:colOff>
      <xdr:row>19</xdr:row>
      <xdr:rowOff>127440</xdr:rowOff>
    </xdr:to>
    <xdr:graphicFrame>
      <xdr:nvGraphicFramePr>
        <xdr:cNvPr id="0" name="Chart 1"/>
        <xdr:cNvGraphicFramePr/>
      </xdr:nvGraphicFramePr>
      <xdr:xfrm>
        <a:off x="0" y="1647720"/>
        <a:ext cx="446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</xdr:row>
      <xdr:rowOff>130680</xdr:rowOff>
    </xdr:from>
    <xdr:to>
      <xdr:col>9</xdr:col>
      <xdr:colOff>798120</xdr:colOff>
      <xdr:row>19</xdr:row>
      <xdr:rowOff>127440</xdr:rowOff>
    </xdr:to>
    <xdr:graphicFrame>
      <xdr:nvGraphicFramePr>
        <xdr:cNvPr id="1" name="Chart 2"/>
        <xdr:cNvGraphicFramePr/>
      </xdr:nvGraphicFramePr>
      <xdr:xfrm>
        <a:off x="4581360" y="1647720"/>
        <a:ext cx="446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130680</xdr:rowOff>
    </xdr:from>
    <xdr:to>
      <xdr:col>9</xdr:col>
      <xdr:colOff>752760</xdr:colOff>
      <xdr:row>34</xdr:row>
      <xdr:rowOff>173880</xdr:rowOff>
    </xdr:to>
    <xdr:graphicFrame>
      <xdr:nvGraphicFramePr>
        <xdr:cNvPr id="2" name="Chart 3"/>
        <xdr:cNvGraphicFramePr/>
      </xdr:nvGraphicFramePr>
      <xdr:xfrm>
        <a:off x="0" y="4695840"/>
        <a:ext cx="89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36</xdr:row>
      <xdr:rowOff>130680</xdr:rowOff>
    </xdr:from>
    <xdr:to>
      <xdr:col>9</xdr:col>
      <xdr:colOff>752760</xdr:colOff>
      <xdr:row>54</xdr:row>
      <xdr:rowOff>121320</xdr:rowOff>
    </xdr:to>
    <xdr:graphicFrame>
      <xdr:nvGraphicFramePr>
        <xdr:cNvPr id="3" name="Chart 4"/>
        <xdr:cNvGraphicFramePr/>
      </xdr:nvGraphicFramePr>
      <xdr:xfrm>
        <a:off x="0" y="7553160"/>
        <a:ext cx="89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</cols>
  <sheetData>
    <row r="1" customFormat="false" ht="19.7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30" hidden="false" customHeight="true" outlineLevel="0" collapsed="false">
      <c r="A4" s="5" t="s">
        <v>14</v>
      </c>
      <c r="B4" s="5"/>
      <c r="C4" s="5" t="s">
        <v>15</v>
      </c>
      <c r="D4" s="5"/>
      <c r="E4" s="5" t="s">
        <v>16</v>
      </c>
      <c r="F4" s="5"/>
      <c r="G4" s="5" t="s">
        <v>17</v>
      </c>
      <c r="H4" s="5"/>
      <c r="I4" s="5" t="s">
        <v>18</v>
      </c>
      <c r="J4" s="5"/>
    </row>
    <row r="5" customFormat="false" ht="39.75" hidden="false" customHeight="true" outlineLevel="0" collapsed="false">
      <c r="A5" s="6" t="n">
        <f aca="false">Articles!U20</f>
        <v>29185</v>
      </c>
      <c r="B5" s="6"/>
      <c r="C5" s="7" t="n">
        <f aca="false">COUNTIF(Articles!$R$5:$R$19,"À commander")+COUNTIF(Articles!$R$5:$R$19,"Rupture")</f>
        <v>5</v>
      </c>
      <c r="D5" s="7"/>
      <c r="E5" s="6" t="n">
        <f aca="false">Articles!T20</f>
        <v>3497.8</v>
      </c>
      <c r="F5" s="6"/>
      <c r="G5" s="7" t="n">
        <f aca="false">AVERAGE(Articles!$Q$5:$Q$19)</f>
        <v>84.3366741076358</v>
      </c>
      <c r="H5" s="7"/>
      <c r="I5" s="7" t="n">
        <f aca="false">COUNTIF(Articles!$R$5:$R$19,"Surstock")</f>
        <v>3</v>
      </c>
      <c r="J5" s="7"/>
    </row>
    <row r="58" customFormat="false" ht="15" hidden="false" customHeight="false" outlineLevel="0" collapsed="false">
      <c r="A58" s="8" t="s">
        <v>19</v>
      </c>
    </row>
  </sheetData>
  <mergeCells count="10"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3" customFormat="false" ht="15" hidden="false" customHeight="false" outlineLevel="0" collapsed="false">
      <c r="A3" s="9" t="s">
        <v>22</v>
      </c>
      <c r="B3" s="9" t="s">
        <v>23</v>
      </c>
      <c r="C3" s="9" t="s">
        <v>24</v>
      </c>
    </row>
    <row r="4" customFormat="false" ht="15" hidden="false" customHeight="false" outlineLevel="0" collapsed="false">
      <c r="A4" s="10" t="s">
        <v>25</v>
      </c>
      <c r="B4" s="11" t="n">
        <v>30</v>
      </c>
      <c r="C4" s="12" t="s">
        <v>26</v>
      </c>
    </row>
    <row r="5" customFormat="false" ht="15" hidden="false" customHeight="false" outlineLevel="0" collapsed="false">
      <c r="A5" s="10" t="s">
        <v>27</v>
      </c>
      <c r="B5" s="11" t="n">
        <v>5</v>
      </c>
      <c r="C5" s="12" t="s">
        <v>28</v>
      </c>
    </row>
    <row r="6" customFormat="false" ht="15" hidden="false" customHeight="false" outlineLevel="0" collapsed="false">
      <c r="A6" s="10" t="s">
        <v>29</v>
      </c>
      <c r="B6" s="11" t="n">
        <v>45</v>
      </c>
      <c r="C6" s="12" t="s">
        <v>30</v>
      </c>
    </row>
    <row r="7" customFormat="false" ht="15" hidden="false" customHeight="false" outlineLevel="0" collapsed="false">
      <c r="A7" s="10" t="s">
        <v>31</v>
      </c>
      <c r="B7" s="11" t="n">
        <v>90</v>
      </c>
      <c r="C7" s="12" t="s">
        <v>32</v>
      </c>
    </row>
    <row r="8" customFormat="false" ht="15" hidden="false" customHeight="false" outlineLevel="0" collapsed="false">
      <c r="A8" s="10" t="s">
        <v>33</v>
      </c>
      <c r="B8" s="13" t="n">
        <v>0.8</v>
      </c>
      <c r="C8" s="12" t="s">
        <v>34</v>
      </c>
    </row>
    <row r="9" customFormat="false" ht="15" hidden="false" customHeight="false" outlineLevel="0" collapsed="false">
      <c r="A9" s="10" t="s">
        <v>35</v>
      </c>
      <c r="B9" s="13" t="n">
        <v>0.95</v>
      </c>
      <c r="C9" s="1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12" min="7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14"/>
    <col collapsed="false" customWidth="true" hidden="false" outlineLevel="0" max="22" min="22" style="0" width="16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45" hidden="false" customHeight="true" outlineLevel="0" collapsed="false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9" t="s">
        <v>54</v>
      </c>
      <c r="Q4" s="9" t="s">
        <v>55</v>
      </c>
      <c r="R4" s="9" t="s">
        <v>56</v>
      </c>
      <c r="S4" s="9" t="s">
        <v>57</v>
      </c>
      <c r="T4" s="9" t="s">
        <v>58</v>
      </c>
      <c r="U4" s="9" t="s">
        <v>59</v>
      </c>
      <c r="V4" s="9" t="s">
        <v>60</v>
      </c>
    </row>
    <row r="5" customFormat="false" ht="15" hidden="false" customHeight="false" outlineLevel="0" collapsed="false">
      <c r="A5" s="10" t="s">
        <v>61</v>
      </c>
      <c r="B5" s="10" t="s">
        <v>62</v>
      </c>
      <c r="C5" s="10" t="s">
        <v>63</v>
      </c>
      <c r="D5" s="14" t="n">
        <v>18.5</v>
      </c>
      <c r="E5" s="15" t="n">
        <v>14</v>
      </c>
      <c r="F5" s="16" t="n">
        <v>34</v>
      </c>
      <c r="G5" s="16" t="n">
        <v>40</v>
      </c>
      <c r="H5" s="16" t="n">
        <v>38</v>
      </c>
      <c r="I5" s="16" t="n">
        <v>45</v>
      </c>
      <c r="J5" s="16" t="n">
        <v>60</v>
      </c>
      <c r="K5" s="16" t="n">
        <v>78</v>
      </c>
      <c r="L5" s="16" t="n">
        <v>92</v>
      </c>
      <c r="M5" s="17" t="n">
        <f aca="false">AVERAGE(G5:L5)</f>
        <v>58.8333333333333</v>
      </c>
      <c r="N5" s="18" t="n">
        <f aca="false">M5/Paramètres!$B$4</f>
        <v>1.96111111111111</v>
      </c>
      <c r="O5" s="17" t="n">
        <f aca="false">ROUNDUP(N5*Paramètres!$B$5,0)</f>
        <v>10</v>
      </c>
      <c r="P5" s="17" t="n">
        <f aca="false">ROUNDUP(N5*E5+O5,0)</f>
        <v>38</v>
      </c>
      <c r="Q5" s="17" t="n">
        <f aca="false">IFERROR(F5/N5,0)</f>
        <v>17.3371104815864</v>
      </c>
      <c r="R5" s="19" t="str">
        <f aca="false">IF(F5&lt;=0,"Rupture",IF(F5&lt;=P5,"À commander",IF(Q5&gt;Paramètres!$B$7,"Surstock","OK")))</f>
        <v>À commander</v>
      </c>
      <c r="S5" s="17" t="n">
        <f aca="false">IF(F5&lt;=P5,MAX(0,ROUNDUP(N5*Paramètres!$B$6+O5-F5,0)),0)</f>
        <v>65</v>
      </c>
      <c r="T5" s="17" t="n">
        <f aca="false">S5*D5</f>
        <v>1202.5</v>
      </c>
      <c r="U5" s="17" t="n">
        <f aca="false">F5*D5</f>
        <v>629</v>
      </c>
      <c r="V5" s="17" t="n">
        <f aca="false">M5*12*D5</f>
        <v>13061</v>
      </c>
    </row>
    <row r="6" customFormat="false" ht="15" hidden="false" customHeight="false" outlineLevel="0" collapsed="false">
      <c r="A6" s="10" t="s">
        <v>64</v>
      </c>
      <c r="B6" s="10" t="s">
        <v>65</v>
      </c>
      <c r="C6" s="10" t="s">
        <v>63</v>
      </c>
      <c r="D6" s="14" t="n">
        <v>2.1</v>
      </c>
      <c r="E6" s="15" t="n">
        <v>10</v>
      </c>
      <c r="F6" s="16" t="n">
        <v>2400</v>
      </c>
      <c r="G6" s="16" t="n">
        <v>900</v>
      </c>
      <c r="H6" s="16" t="n">
        <v>850</v>
      </c>
      <c r="I6" s="16" t="n">
        <v>1000</v>
      </c>
      <c r="J6" s="16" t="n">
        <v>1300</v>
      </c>
      <c r="K6" s="16" t="n">
        <v>1600</v>
      </c>
      <c r="L6" s="16" t="n">
        <v>1850</v>
      </c>
      <c r="M6" s="17" t="n">
        <f aca="false">AVERAGE(G6:L6)</f>
        <v>1250</v>
      </c>
      <c r="N6" s="18" t="n">
        <f aca="false">M6/Paramètres!$B$4</f>
        <v>41.6666666666667</v>
      </c>
      <c r="O6" s="17" t="n">
        <f aca="false">ROUNDUP(N6*Paramètres!$B$5,0)</f>
        <v>209</v>
      </c>
      <c r="P6" s="17" t="n">
        <f aca="false">ROUNDUP(N6*E6+O6,0)</f>
        <v>626</v>
      </c>
      <c r="Q6" s="17" t="n">
        <f aca="false">IFERROR(F6/N6,0)</f>
        <v>57.6</v>
      </c>
      <c r="R6" s="19" t="str">
        <f aca="false">IF(F6&lt;=0,"Rupture",IF(F6&lt;=P6,"À commander",IF(Q6&gt;Paramètres!$B$7,"Surstock","OK")))</f>
        <v>OK</v>
      </c>
      <c r="S6" s="17" t="n">
        <f aca="false">IF(F6&lt;=P6,MAX(0,ROUNDUP(N6*Paramètres!$B$6+O6-F6,0)),0)</f>
        <v>0</v>
      </c>
      <c r="T6" s="17" t="n">
        <f aca="false">S6*D6</f>
        <v>0</v>
      </c>
      <c r="U6" s="17" t="n">
        <f aca="false">F6*D6</f>
        <v>5040</v>
      </c>
      <c r="V6" s="17" t="n">
        <f aca="false">M6*12*D6</f>
        <v>31500</v>
      </c>
    </row>
    <row r="7" customFormat="false" ht="15" hidden="false" customHeight="false" outlineLevel="0" collapsed="false">
      <c r="A7" s="10" t="s">
        <v>66</v>
      </c>
      <c r="B7" s="10" t="s">
        <v>67</v>
      </c>
      <c r="C7" s="10" t="s">
        <v>63</v>
      </c>
      <c r="D7" s="14" t="n">
        <v>4.75</v>
      </c>
      <c r="E7" s="15" t="n">
        <v>14</v>
      </c>
      <c r="F7" s="16" t="n">
        <v>520</v>
      </c>
      <c r="G7" s="16" t="n">
        <v>120</v>
      </c>
      <c r="H7" s="16" t="n">
        <v>110</v>
      </c>
      <c r="I7" s="16" t="n">
        <v>140</v>
      </c>
      <c r="J7" s="16" t="n">
        <v>190</v>
      </c>
      <c r="K7" s="16" t="n">
        <v>230</v>
      </c>
      <c r="L7" s="16" t="n">
        <v>260</v>
      </c>
      <c r="M7" s="17" t="n">
        <f aca="false">AVERAGE(G7:L7)</f>
        <v>175</v>
      </c>
      <c r="N7" s="18" t="n">
        <f aca="false">M7/Paramètres!$B$4</f>
        <v>5.83333333333333</v>
      </c>
      <c r="O7" s="17" t="n">
        <f aca="false">ROUNDUP(N7*Paramètres!$B$5,0)</f>
        <v>30</v>
      </c>
      <c r="P7" s="17" t="n">
        <f aca="false">ROUNDUP(N7*E7+O7,0)</f>
        <v>112</v>
      </c>
      <c r="Q7" s="17" t="n">
        <f aca="false">IFERROR(F7/N7,0)</f>
        <v>89.1428571428572</v>
      </c>
      <c r="R7" s="19" t="str">
        <f aca="false">IF(F7&lt;=0,"Rupture",IF(F7&lt;=P7,"À commander",IF(Q7&gt;Paramètres!$B$7,"Surstock","OK")))</f>
        <v>OK</v>
      </c>
      <c r="S7" s="17" t="n">
        <f aca="false">IF(F7&lt;=P7,MAX(0,ROUNDUP(N7*Paramètres!$B$6+O7-F7,0)),0)</f>
        <v>0</v>
      </c>
      <c r="T7" s="17" t="n">
        <f aca="false">S7*D7</f>
        <v>0</v>
      </c>
      <c r="U7" s="17" t="n">
        <f aca="false">F7*D7</f>
        <v>2470</v>
      </c>
      <c r="V7" s="17" t="n">
        <f aca="false">M7*12*D7</f>
        <v>9975</v>
      </c>
    </row>
    <row r="8" customFormat="false" ht="15" hidden="false" customHeight="false" outlineLevel="0" collapsed="false">
      <c r="A8" s="10" t="s">
        <v>68</v>
      </c>
      <c r="B8" s="10" t="s">
        <v>69</v>
      </c>
      <c r="C8" s="10" t="s">
        <v>70</v>
      </c>
      <c r="D8" s="14" t="n">
        <v>6.4</v>
      </c>
      <c r="E8" s="15" t="n">
        <v>12</v>
      </c>
      <c r="F8" s="16" t="n">
        <v>520</v>
      </c>
      <c r="G8" s="16" t="n">
        <v>210</v>
      </c>
      <c r="H8" s="16" t="n">
        <v>190</v>
      </c>
      <c r="I8" s="16" t="n">
        <v>230</v>
      </c>
      <c r="J8" s="16" t="n">
        <v>310</v>
      </c>
      <c r="K8" s="16" t="n">
        <v>380</v>
      </c>
      <c r="L8" s="16" t="n">
        <v>420</v>
      </c>
      <c r="M8" s="17" t="n">
        <f aca="false">AVERAGE(G8:L8)</f>
        <v>290</v>
      </c>
      <c r="N8" s="18" t="n">
        <f aca="false">M8/Paramètres!$B$4</f>
        <v>9.66666666666667</v>
      </c>
      <c r="O8" s="17" t="n">
        <f aca="false">ROUNDUP(N8*Paramètres!$B$5,0)</f>
        <v>49</v>
      </c>
      <c r="P8" s="17" t="n">
        <f aca="false">ROUNDUP(N8*E8+O8,0)</f>
        <v>165</v>
      </c>
      <c r="Q8" s="17" t="n">
        <f aca="false">IFERROR(F8/N8,0)</f>
        <v>53.7931034482759</v>
      </c>
      <c r="R8" s="19" t="str">
        <f aca="false">IF(F8&lt;=0,"Rupture",IF(F8&lt;=P8,"À commander",IF(Q8&gt;Paramètres!$B$7,"Surstock","OK")))</f>
        <v>OK</v>
      </c>
      <c r="S8" s="17" t="n">
        <f aca="false">IF(F8&lt;=P8,MAX(0,ROUNDUP(N8*Paramètres!$B$6+O8-F8,0)),0)</f>
        <v>0</v>
      </c>
      <c r="T8" s="17" t="n">
        <f aca="false">S8*D8</f>
        <v>0</v>
      </c>
      <c r="U8" s="17" t="n">
        <f aca="false">F8*D8</f>
        <v>3328</v>
      </c>
      <c r="V8" s="17" t="n">
        <f aca="false">M8*12*D8</f>
        <v>22272</v>
      </c>
    </row>
    <row r="9" customFormat="false" ht="15" hidden="false" customHeight="false" outlineLevel="0" collapsed="false">
      <c r="A9" s="10" t="s">
        <v>71</v>
      </c>
      <c r="B9" s="10" t="s">
        <v>72</v>
      </c>
      <c r="C9" s="10" t="s">
        <v>70</v>
      </c>
      <c r="D9" s="14" t="n">
        <v>4.8</v>
      </c>
      <c r="E9" s="15" t="n">
        <v>12</v>
      </c>
      <c r="F9" s="16" t="n">
        <v>300</v>
      </c>
      <c r="G9" s="16" t="n">
        <v>150</v>
      </c>
      <c r="H9" s="16" t="n">
        <v>140</v>
      </c>
      <c r="I9" s="16" t="n">
        <v>170</v>
      </c>
      <c r="J9" s="16" t="n">
        <v>230</v>
      </c>
      <c r="K9" s="16" t="n">
        <v>290</v>
      </c>
      <c r="L9" s="16" t="n">
        <v>330</v>
      </c>
      <c r="M9" s="17" t="n">
        <f aca="false">AVERAGE(G9:L9)</f>
        <v>218.333333333333</v>
      </c>
      <c r="N9" s="18" t="n">
        <f aca="false">M9/Paramètres!$B$4</f>
        <v>7.27777777777778</v>
      </c>
      <c r="O9" s="17" t="n">
        <f aca="false">ROUNDUP(N9*Paramètres!$B$5,0)</f>
        <v>37</v>
      </c>
      <c r="P9" s="17" t="n">
        <f aca="false">ROUNDUP(N9*E9+O9,0)</f>
        <v>125</v>
      </c>
      <c r="Q9" s="17" t="n">
        <f aca="false">IFERROR(F9/N9,0)</f>
        <v>41.2213740458015</v>
      </c>
      <c r="R9" s="19" t="str">
        <f aca="false">IF(F9&lt;=0,"Rupture",IF(F9&lt;=P9,"À commander",IF(Q9&gt;Paramètres!$B$7,"Surstock","OK")))</f>
        <v>OK</v>
      </c>
      <c r="S9" s="17" t="n">
        <f aca="false">IF(F9&lt;=P9,MAX(0,ROUNDUP(N9*Paramètres!$B$6+O9-F9,0)),0)</f>
        <v>0</v>
      </c>
      <c r="T9" s="17" t="n">
        <f aca="false">S9*D9</f>
        <v>0</v>
      </c>
      <c r="U9" s="17" t="n">
        <f aca="false">F9*D9</f>
        <v>1440</v>
      </c>
      <c r="V9" s="17" t="n">
        <f aca="false">M9*12*D9</f>
        <v>12576</v>
      </c>
    </row>
    <row r="10" customFormat="false" ht="15" hidden="false" customHeight="false" outlineLevel="0" collapsed="false">
      <c r="A10" s="10" t="s">
        <v>73</v>
      </c>
      <c r="B10" s="10" t="s">
        <v>74</v>
      </c>
      <c r="C10" s="10" t="s">
        <v>70</v>
      </c>
      <c r="D10" s="14" t="n">
        <v>5.2</v>
      </c>
      <c r="E10" s="15" t="n">
        <v>12</v>
      </c>
      <c r="F10" s="16" t="n">
        <v>900</v>
      </c>
      <c r="G10" s="16" t="n">
        <v>60</v>
      </c>
      <c r="H10" s="16" t="n">
        <v>55</v>
      </c>
      <c r="I10" s="16" t="n">
        <v>65</v>
      </c>
      <c r="J10" s="16" t="n">
        <v>70</v>
      </c>
      <c r="K10" s="16" t="n">
        <v>60</v>
      </c>
      <c r="L10" s="16" t="n">
        <v>50</v>
      </c>
      <c r="M10" s="17" t="n">
        <f aca="false">AVERAGE(G10:L10)</f>
        <v>60</v>
      </c>
      <c r="N10" s="18" t="n">
        <f aca="false">M10/Paramètres!$B$4</f>
        <v>2</v>
      </c>
      <c r="O10" s="17" t="n">
        <f aca="false">ROUNDUP(N10*Paramètres!$B$5,0)</f>
        <v>10</v>
      </c>
      <c r="P10" s="17" t="n">
        <f aca="false">ROUNDUP(N10*E10+O10,0)</f>
        <v>34</v>
      </c>
      <c r="Q10" s="17" t="n">
        <f aca="false">IFERROR(F10/N10,0)</f>
        <v>450</v>
      </c>
      <c r="R10" s="19" t="str">
        <f aca="false">IF(F10&lt;=0,"Rupture",IF(F10&lt;=P10,"À commander",IF(Q10&gt;Paramètres!$B$7,"Surstock","OK")))</f>
        <v>Surstock</v>
      </c>
      <c r="S10" s="17" t="n">
        <f aca="false">IF(F10&lt;=P10,MAX(0,ROUNDUP(N10*Paramètres!$B$6+O10-F10,0)),0)</f>
        <v>0</v>
      </c>
      <c r="T10" s="17" t="n">
        <f aca="false">S10*D10</f>
        <v>0</v>
      </c>
      <c r="U10" s="17" t="n">
        <f aca="false">F10*D10</f>
        <v>4680</v>
      </c>
      <c r="V10" s="17" t="n">
        <f aca="false">M10*12*D10</f>
        <v>3744</v>
      </c>
    </row>
    <row r="11" customFormat="false" ht="15" hidden="false" customHeight="false" outlineLevel="0" collapsed="false">
      <c r="A11" s="10" t="s">
        <v>75</v>
      </c>
      <c r="B11" s="10" t="s">
        <v>76</v>
      </c>
      <c r="C11" s="10" t="s">
        <v>70</v>
      </c>
      <c r="D11" s="14" t="n">
        <v>1.95</v>
      </c>
      <c r="E11" s="15" t="n">
        <v>10</v>
      </c>
      <c r="F11" s="16" t="n">
        <v>1500</v>
      </c>
      <c r="G11" s="16" t="n">
        <v>300</v>
      </c>
      <c r="H11" s="16" t="n">
        <v>280</v>
      </c>
      <c r="I11" s="16" t="n">
        <v>330</v>
      </c>
      <c r="J11" s="16" t="n">
        <v>420</v>
      </c>
      <c r="K11" s="16" t="n">
        <v>520</v>
      </c>
      <c r="L11" s="16" t="n">
        <v>600</v>
      </c>
      <c r="M11" s="17" t="n">
        <f aca="false">AVERAGE(G11:L11)</f>
        <v>408.333333333333</v>
      </c>
      <c r="N11" s="18" t="n">
        <f aca="false">M11/Paramètres!$B$4</f>
        <v>13.6111111111111</v>
      </c>
      <c r="O11" s="17" t="n">
        <f aca="false">ROUNDUP(N11*Paramètres!$B$5,0)</f>
        <v>69</v>
      </c>
      <c r="P11" s="17" t="n">
        <f aca="false">ROUNDUP(N11*E11+O11,0)</f>
        <v>206</v>
      </c>
      <c r="Q11" s="17" t="n">
        <f aca="false">IFERROR(F11/N11,0)</f>
        <v>110.204081632653</v>
      </c>
      <c r="R11" s="19" t="str">
        <f aca="false">IF(F11&lt;=0,"Rupture",IF(F11&lt;=P11,"À commander",IF(Q11&gt;Paramètres!$B$7,"Surstock","OK")))</f>
        <v>Surstock</v>
      </c>
      <c r="S11" s="17" t="n">
        <f aca="false">IF(F11&lt;=P11,MAX(0,ROUNDUP(N11*Paramètres!$B$6+O11-F11,0)),0)</f>
        <v>0</v>
      </c>
      <c r="T11" s="17" t="n">
        <f aca="false">S11*D11</f>
        <v>0</v>
      </c>
      <c r="U11" s="17" t="n">
        <f aca="false">F11*D11</f>
        <v>2925</v>
      </c>
      <c r="V11" s="17" t="n">
        <f aca="false">M11*12*D11</f>
        <v>9555</v>
      </c>
    </row>
    <row r="12" customFormat="false" ht="15" hidden="false" customHeight="false" outlineLevel="0" collapsed="false">
      <c r="A12" s="10" t="s">
        <v>77</v>
      </c>
      <c r="B12" s="10" t="s">
        <v>78</v>
      </c>
      <c r="C12" s="10" t="s">
        <v>70</v>
      </c>
      <c r="D12" s="14" t="n">
        <v>2.15</v>
      </c>
      <c r="E12" s="15" t="n">
        <v>10</v>
      </c>
      <c r="F12" s="16" t="n">
        <v>900</v>
      </c>
      <c r="G12" s="16" t="n">
        <v>280</v>
      </c>
      <c r="H12" s="16" t="n">
        <v>260</v>
      </c>
      <c r="I12" s="16" t="n">
        <v>310</v>
      </c>
      <c r="J12" s="16" t="n">
        <v>400</v>
      </c>
      <c r="K12" s="16" t="n">
        <v>500</v>
      </c>
      <c r="L12" s="16" t="n">
        <v>570</v>
      </c>
      <c r="M12" s="17" t="n">
        <f aca="false">AVERAGE(G12:L12)</f>
        <v>386.666666666667</v>
      </c>
      <c r="N12" s="18" t="n">
        <f aca="false">M12/Paramètres!$B$4</f>
        <v>12.8888888888889</v>
      </c>
      <c r="O12" s="17" t="n">
        <f aca="false">ROUNDUP(N12*Paramètres!$B$5,0)</f>
        <v>65</v>
      </c>
      <c r="P12" s="17" t="n">
        <f aca="false">ROUNDUP(N12*E12+O12,0)</f>
        <v>194</v>
      </c>
      <c r="Q12" s="17" t="n">
        <f aca="false">IFERROR(F12/N12,0)</f>
        <v>69.8275862068966</v>
      </c>
      <c r="R12" s="19" t="str">
        <f aca="false">IF(F12&lt;=0,"Rupture",IF(F12&lt;=P12,"À commander",IF(Q12&gt;Paramètres!$B$7,"Surstock","OK")))</f>
        <v>OK</v>
      </c>
      <c r="S12" s="17" t="n">
        <f aca="false">IF(F12&lt;=P12,MAX(0,ROUNDUP(N12*Paramètres!$B$6+O12-F12,0)),0)</f>
        <v>0</v>
      </c>
      <c r="T12" s="17" t="n">
        <f aca="false">S12*D12</f>
        <v>0</v>
      </c>
      <c r="U12" s="17" t="n">
        <f aca="false">F12*D12</f>
        <v>1935</v>
      </c>
      <c r="V12" s="17" t="n">
        <f aca="false">M12*12*D12</f>
        <v>9976</v>
      </c>
    </row>
    <row r="13" customFormat="false" ht="15" hidden="false" customHeight="false" outlineLevel="0" collapsed="false">
      <c r="A13" s="10" t="s">
        <v>79</v>
      </c>
      <c r="B13" s="10" t="s">
        <v>80</v>
      </c>
      <c r="C13" s="10" t="s">
        <v>81</v>
      </c>
      <c r="D13" s="14" t="n">
        <v>3.6</v>
      </c>
      <c r="E13" s="15" t="n">
        <v>15</v>
      </c>
      <c r="F13" s="16" t="n">
        <v>160</v>
      </c>
      <c r="G13" s="16" t="n">
        <v>190</v>
      </c>
      <c r="H13" s="16" t="n">
        <v>180</v>
      </c>
      <c r="I13" s="16" t="n">
        <v>210</v>
      </c>
      <c r="J13" s="16" t="n">
        <v>290</v>
      </c>
      <c r="K13" s="16" t="n">
        <v>360</v>
      </c>
      <c r="L13" s="16" t="n">
        <v>400</v>
      </c>
      <c r="M13" s="17" t="n">
        <f aca="false">AVERAGE(G13:L13)</f>
        <v>271.666666666667</v>
      </c>
      <c r="N13" s="18" t="n">
        <f aca="false">M13/Paramètres!$B$4</f>
        <v>9.05555555555556</v>
      </c>
      <c r="O13" s="17" t="n">
        <f aca="false">ROUNDUP(N13*Paramètres!$B$5,0)</f>
        <v>46</v>
      </c>
      <c r="P13" s="17" t="n">
        <f aca="false">ROUNDUP(N13*E13+O13,0)</f>
        <v>182</v>
      </c>
      <c r="Q13" s="17" t="n">
        <f aca="false">IFERROR(F13/N13,0)</f>
        <v>17.6687116564417</v>
      </c>
      <c r="R13" s="19" t="str">
        <f aca="false">IF(F13&lt;=0,"Rupture",IF(F13&lt;=P13,"À commander",IF(Q13&gt;Paramètres!$B$7,"Surstock","OK")))</f>
        <v>À commander</v>
      </c>
      <c r="S13" s="17" t="n">
        <f aca="false">IF(F13&lt;=P13,MAX(0,ROUNDUP(N13*Paramètres!$B$6+O13-F13,0)),0)</f>
        <v>294</v>
      </c>
      <c r="T13" s="17" t="n">
        <f aca="false">S13*D13</f>
        <v>1058.4</v>
      </c>
      <c r="U13" s="17" t="n">
        <f aca="false">F13*D13</f>
        <v>576</v>
      </c>
      <c r="V13" s="17" t="n">
        <f aca="false">M13*12*D13</f>
        <v>11736</v>
      </c>
    </row>
    <row r="14" customFormat="false" ht="15" hidden="false" customHeight="false" outlineLevel="0" collapsed="false">
      <c r="A14" s="10" t="s">
        <v>82</v>
      </c>
      <c r="B14" s="10" t="s">
        <v>83</v>
      </c>
      <c r="C14" s="10" t="s">
        <v>81</v>
      </c>
      <c r="D14" s="14" t="n">
        <v>3.9</v>
      </c>
      <c r="E14" s="15" t="n">
        <v>15</v>
      </c>
      <c r="F14" s="16" t="n">
        <v>70</v>
      </c>
      <c r="G14" s="16" t="n">
        <v>80</v>
      </c>
      <c r="H14" s="16" t="n">
        <v>70</v>
      </c>
      <c r="I14" s="16" t="n">
        <v>90</v>
      </c>
      <c r="J14" s="16" t="n">
        <v>130</v>
      </c>
      <c r="K14" s="16" t="n">
        <v>170</v>
      </c>
      <c r="L14" s="16" t="n">
        <v>200</v>
      </c>
      <c r="M14" s="17" t="n">
        <f aca="false">AVERAGE(G14:L14)</f>
        <v>123.333333333333</v>
      </c>
      <c r="N14" s="18" t="n">
        <f aca="false">M14/Paramètres!$B$4</f>
        <v>4.11111111111111</v>
      </c>
      <c r="O14" s="17" t="n">
        <f aca="false">ROUNDUP(N14*Paramètres!$B$5,0)</f>
        <v>21</v>
      </c>
      <c r="P14" s="17" t="n">
        <f aca="false">ROUNDUP(N14*E14+O14,0)</f>
        <v>83</v>
      </c>
      <c r="Q14" s="17" t="n">
        <f aca="false">IFERROR(F14/N14,0)</f>
        <v>17.027027027027</v>
      </c>
      <c r="R14" s="19" t="str">
        <f aca="false">IF(F14&lt;=0,"Rupture",IF(F14&lt;=P14,"À commander",IF(Q14&gt;Paramètres!$B$7,"Surstock","OK")))</f>
        <v>À commander</v>
      </c>
      <c r="S14" s="17" t="n">
        <f aca="false">IF(F14&lt;=P14,MAX(0,ROUNDUP(N14*Paramètres!$B$6+O14-F14,0)),0)</f>
        <v>136</v>
      </c>
      <c r="T14" s="17" t="n">
        <f aca="false">S14*D14</f>
        <v>530.4</v>
      </c>
      <c r="U14" s="17" t="n">
        <f aca="false">F14*D14</f>
        <v>273</v>
      </c>
      <c r="V14" s="17" t="n">
        <f aca="false">M14*12*D14</f>
        <v>5772</v>
      </c>
    </row>
    <row r="15" customFormat="false" ht="15" hidden="false" customHeight="false" outlineLevel="0" collapsed="false">
      <c r="A15" s="10" t="s">
        <v>84</v>
      </c>
      <c r="B15" s="10" t="s">
        <v>85</v>
      </c>
      <c r="C15" s="10" t="s">
        <v>81</v>
      </c>
      <c r="D15" s="14" t="n">
        <v>2.8</v>
      </c>
      <c r="E15" s="15" t="n">
        <v>15</v>
      </c>
      <c r="F15" s="16" t="n">
        <v>700</v>
      </c>
      <c r="G15" s="16" t="n">
        <v>170</v>
      </c>
      <c r="H15" s="16" t="n">
        <v>160</v>
      </c>
      <c r="I15" s="16" t="n">
        <v>190</v>
      </c>
      <c r="J15" s="16" t="n">
        <v>250</v>
      </c>
      <c r="K15" s="16" t="n">
        <v>300</v>
      </c>
      <c r="L15" s="16" t="n">
        <v>340</v>
      </c>
      <c r="M15" s="17" t="n">
        <f aca="false">AVERAGE(G15:L15)</f>
        <v>235</v>
      </c>
      <c r="N15" s="18" t="n">
        <f aca="false">M15/Paramètres!$B$4</f>
        <v>7.83333333333333</v>
      </c>
      <c r="O15" s="17" t="n">
        <f aca="false">ROUNDUP(N15*Paramètres!$B$5,0)</f>
        <v>40</v>
      </c>
      <c r="P15" s="17" t="n">
        <f aca="false">ROUNDUP(N15*E15+O15,0)</f>
        <v>158</v>
      </c>
      <c r="Q15" s="17" t="n">
        <f aca="false">IFERROR(F15/N15,0)</f>
        <v>89.3617021276596</v>
      </c>
      <c r="R15" s="19" t="str">
        <f aca="false">IF(F15&lt;=0,"Rupture",IF(F15&lt;=P15,"À commander",IF(Q15&gt;Paramètres!$B$7,"Surstock","OK")))</f>
        <v>OK</v>
      </c>
      <c r="S15" s="17" t="n">
        <f aca="false">IF(F15&lt;=P15,MAX(0,ROUNDUP(N15*Paramètres!$B$6+O15-F15,0)),0)</f>
        <v>0</v>
      </c>
      <c r="T15" s="17" t="n">
        <f aca="false">S15*D15</f>
        <v>0</v>
      </c>
      <c r="U15" s="17" t="n">
        <f aca="false">F15*D15</f>
        <v>1960</v>
      </c>
      <c r="V15" s="17" t="n">
        <f aca="false">M15*12*D15</f>
        <v>7896</v>
      </c>
    </row>
    <row r="16" customFormat="false" ht="15" hidden="false" customHeight="false" outlineLevel="0" collapsed="false">
      <c r="A16" s="10" t="s">
        <v>86</v>
      </c>
      <c r="B16" s="10" t="s">
        <v>87</v>
      </c>
      <c r="C16" s="10" t="s">
        <v>88</v>
      </c>
      <c r="D16" s="14" t="n">
        <v>0.85</v>
      </c>
      <c r="E16" s="15" t="n">
        <v>7</v>
      </c>
      <c r="F16" s="16" t="n">
        <v>4200</v>
      </c>
      <c r="G16" s="16" t="n">
        <v>500</v>
      </c>
      <c r="H16" s="16" t="n">
        <v>450</v>
      </c>
      <c r="I16" s="16" t="n">
        <v>600</v>
      </c>
      <c r="J16" s="16" t="n">
        <v>800</v>
      </c>
      <c r="K16" s="16" t="n">
        <v>1000</v>
      </c>
      <c r="L16" s="16" t="n">
        <v>1150</v>
      </c>
      <c r="M16" s="17" t="n">
        <f aca="false">AVERAGE(G16:L16)</f>
        <v>750</v>
      </c>
      <c r="N16" s="18" t="n">
        <f aca="false">M16/Paramètres!$B$4</f>
        <v>25</v>
      </c>
      <c r="O16" s="17" t="n">
        <f aca="false">ROUNDUP(N16*Paramètres!$B$5,0)</f>
        <v>125</v>
      </c>
      <c r="P16" s="17" t="n">
        <f aca="false">ROUNDUP(N16*E16+O16,0)</f>
        <v>300</v>
      </c>
      <c r="Q16" s="17" t="n">
        <f aca="false">IFERROR(F16/N16,0)</f>
        <v>168</v>
      </c>
      <c r="R16" s="19" t="str">
        <f aca="false">IF(F16&lt;=0,"Rupture",IF(F16&lt;=P16,"À commander",IF(Q16&gt;Paramètres!$B$7,"Surstock","OK")))</f>
        <v>Surstock</v>
      </c>
      <c r="S16" s="17" t="n">
        <f aca="false">IF(F16&lt;=P16,MAX(0,ROUNDUP(N16*Paramètres!$B$6+O16-F16,0)),0)</f>
        <v>0</v>
      </c>
      <c r="T16" s="17" t="n">
        <f aca="false">S16*D16</f>
        <v>0</v>
      </c>
      <c r="U16" s="17" t="n">
        <f aca="false">F16*D16</f>
        <v>3570</v>
      </c>
      <c r="V16" s="17" t="n">
        <f aca="false">M16*12*D16</f>
        <v>7650</v>
      </c>
    </row>
    <row r="17" customFormat="false" ht="15" hidden="false" customHeight="false" outlineLevel="0" collapsed="false">
      <c r="A17" s="10" t="s">
        <v>89</v>
      </c>
      <c r="B17" s="10" t="s">
        <v>90</v>
      </c>
      <c r="C17" s="10" t="s">
        <v>88</v>
      </c>
      <c r="D17" s="14" t="n">
        <v>4.1</v>
      </c>
      <c r="E17" s="15" t="n">
        <v>7</v>
      </c>
      <c r="F17" s="16" t="n">
        <v>70</v>
      </c>
      <c r="G17" s="16" t="n">
        <v>22</v>
      </c>
      <c r="H17" s="16" t="n">
        <v>20</v>
      </c>
      <c r="I17" s="16" t="n">
        <v>25</v>
      </c>
      <c r="J17" s="16" t="n">
        <v>30</v>
      </c>
      <c r="K17" s="16" t="n">
        <v>34</v>
      </c>
      <c r="L17" s="16" t="n">
        <v>38</v>
      </c>
      <c r="M17" s="17" t="n">
        <f aca="false">AVERAGE(G17:L17)</f>
        <v>28.1666666666667</v>
      </c>
      <c r="N17" s="18" t="n">
        <f aca="false">M17/Paramètres!$B$4</f>
        <v>0.938888888888889</v>
      </c>
      <c r="O17" s="17" t="n">
        <f aca="false">ROUNDUP(N17*Paramètres!$B$5,0)</f>
        <v>5</v>
      </c>
      <c r="P17" s="17" t="n">
        <f aca="false">ROUNDUP(N17*E17+O17,0)</f>
        <v>12</v>
      </c>
      <c r="Q17" s="17" t="n">
        <f aca="false">IFERROR(F17/N17,0)</f>
        <v>74.5562130177515</v>
      </c>
      <c r="R17" s="19" t="str">
        <f aca="false">IF(F17&lt;=0,"Rupture",IF(F17&lt;=P17,"À commander",IF(Q17&gt;Paramètres!$B$7,"Surstock","OK")))</f>
        <v>OK</v>
      </c>
      <c r="S17" s="17" t="n">
        <f aca="false">IF(F17&lt;=P17,MAX(0,ROUNDUP(N17*Paramètres!$B$6+O17-F17,0)),0)</f>
        <v>0</v>
      </c>
      <c r="T17" s="17" t="n">
        <f aca="false">S17*D17</f>
        <v>0</v>
      </c>
      <c r="U17" s="17" t="n">
        <f aca="false">F17*D17</f>
        <v>287</v>
      </c>
      <c r="V17" s="17" t="n">
        <f aca="false">M17*12*D17</f>
        <v>1385.8</v>
      </c>
    </row>
    <row r="18" customFormat="false" ht="15" hidden="false" customHeight="false" outlineLevel="0" collapsed="false">
      <c r="A18" s="10" t="s">
        <v>91</v>
      </c>
      <c r="B18" s="10" t="s">
        <v>92</v>
      </c>
      <c r="C18" s="10" t="s">
        <v>88</v>
      </c>
      <c r="D18" s="14" t="n">
        <v>24</v>
      </c>
      <c r="E18" s="15" t="n">
        <v>7</v>
      </c>
      <c r="F18" s="16" t="n">
        <v>3</v>
      </c>
      <c r="G18" s="16" t="n">
        <v>8</v>
      </c>
      <c r="H18" s="16" t="n">
        <v>8</v>
      </c>
      <c r="I18" s="16" t="n">
        <v>9</v>
      </c>
      <c r="J18" s="16" t="n">
        <v>10</v>
      </c>
      <c r="K18" s="16" t="n">
        <v>11</v>
      </c>
      <c r="L18" s="16" t="n">
        <v>12</v>
      </c>
      <c r="M18" s="17" t="n">
        <f aca="false">AVERAGE(G18:L18)</f>
        <v>9.66666666666667</v>
      </c>
      <c r="N18" s="18" t="n">
        <f aca="false">M18/Paramètres!$B$4</f>
        <v>0.322222222222222</v>
      </c>
      <c r="O18" s="17" t="n">
        <f aca="false">ROUNDUP(N18*Paramètres!$B$5,0)</f>
        <v>2</v>
      </c>
      <c r="P18" s="17" t="n">
        <f aca="false">ROUNDUP(N18*E18+O18,0)</f>
        <v>5</v>
      </c>
      <c r="Q18" s="17" t="n">
        <f aca="false">IFERROR(F18/N18,0)</f>
        <v>9.31034482758621</v>
      </c>
      <c r="R18" s="19" t="str">
        <f aca="false">IF(F18&lt;=0,"Rupture",IF(F18&lt;=P18,"À commander",IF(Q18&gt;Paramètres!$B$7,"Surstock","OK")))</f>
        <v>À commander</v>
      </c>
      <c r="S18" s="17" t="n">
        <f aca="false">IF(F18&lt;=P18,MAX(0,ROUNDUP(N18*Paramètres!$B$6+O18-F18,0)),0)</f>
        <v>14</v>
      </c>
      <c r="T18" s="17" t="n">
        <f aca="false">S18*D18</f>
        <v>336</v>
      </c>
      <c r="U18" s="17" t="n">
        <f aca="false">F18*D18</f>
        <v>72</v>
      </c>
      <c r="V18" s="17" t="n">
        <f aca="false">M18*12*D18</f>
        <v>2784</v>
      </c>
    </row>
    <row r="19" customFormat="false" ht="15" hidden="false" customHeight="false" outlineLevel="0" collapsed="false">
      <c r="A19" s="10" t="s">
        <v>93</v>
      </c>
      <c r="B19" s="10" t="s">
        <v>94</v>
      </c>
      <c r="C19" s="10" t="s">
        <v>95</v>
      </c>
      <c r="D19" s="14" t="n">
        <v>28.5</v>
      </c>
      <c r="E19" s="15" t="n">
        <v>10</v>
      </c>
      <c r="F19" s="16" t="n">
        <v>0</v>
      </c>
      <c r="G19" s="16" t="n">
        <v>6</v>
      </c>
      <c r="H19" s="16" t="n">
        <v>5</v>
      </c>
      <c r="I19" s="16" t="n">
        <v>6</v>
      </c>
      <c r="J19" s="16" t="n">
        <v>8</v>
      </c>
      <c r="K19" s="16" t="n">
        <v>9</v>
      </c>
      <c r="L19" s="16" t="n">
        <v>10</v>
      </c>
      <c r="M19" s="17" t="n">
        <f aca="false">AVERAGE(G19:L19)</f>
        <v>7.33333333333333</v>
      </c>
      <c r="N19" s="18" t="n">
        <f aca="false">M19/Paramètres!$B$4</f>
        <v>0.244444444444444</v>
      </c>
      <c r="O19" s="17" t="n">
        <f aca="false">ROUNDUP(N19*Paramètres!$B$5,0)</f>
        <v>2</v>
      </c>
      <c r="P19" s="17" t="n">
        <f aca="false">ROUNDUP(N19*E19+O19,0)</f>
        <v>5</v>
      </c>
      <c r="Q19" s="17" t="n">
        <f aca="false">IFERROR(F19/N19,0)</f>
        <v>0</v>
      </c>
      <c r="R19" s="19" t="str">
        <f aca="false">IF(F19&lt;=0,"Rupture",IF(F19&lt;=P19,"À commander",IF(Q19&gt;Paramètres!$B$7,"Surstock","OK")))</f>
        <v>Rupture</v>
      </c>
      <c r="S19" s="17" t="n">
        <f aca="false">IF(F19&lt;=P19,MAX(0,ROUNDUP(N19*Paramètres!$B$6+O19-F19,0)),0)</f>
        <v>13</v>
      </c>
      <c r="T19" s="17" t="n">
        <f aca="false">S19*D19</f>
        <v>370.5</v>
      </c>
      <c r="U19" s="17" t="n">
        <f aca="false">F19*D19</f>
        <v>0</v>
      </c>
      <c r="V19" s="17" t="n">
        <f aca="false">M19*12*D19</f>
        <v>2508</v>
      </c>
    </row>
    <row r="20" customFormat="false" ht="15" hidden="false" customHeight="false" outlineLevel="0" collapsed="false">
      <c r="A20" s="20"/>
      <c r="B20" s="21" t="s">
        <v>96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2" t="n">
        <f aca="false">SUM(T5:T19)</f>
        <v>3497.8</v>
      </c>
      <c r="U20" s="22" t="n">
        <f aca="false">SUM(U5:U19)</f>
        <v>29185</v>
      </c>
      <c r="V20" s="22" t="n">
        <f aca="false">SUM(V5:V19)</f>
        <v>152390.8</v>
      </c>
    </row>
  </sheetData>
  <conditionalFormatting sqref="R5:R19">
    <cfRule type="cellIs" priority="2" operator="equal" aboveAverage="0" equalAverage="0" bottom="0" percent="0" rank="0" text="" dxfId="0">
      <formula>"Rupture"</formula>
    </cfRule>
    <cfRule type="cellIs" priority="3" operator="equal" aboveAverage="0" equalAverage="0" bottom="0" percent="0" rank="0" text="" dxfId="1">
      <formula>"À commander"</formula>
    </cfRule>
    <cfRule type="cellIs" priority="4" operator="equal" aboveAverage="0" equalAverage="0" bottom="0" percent="0" rank="0" text="" dxfId="2">
      <formula>"Surstock"</formula>
    </cfRule>
    <cfRule type="cellIs" priority="5" operator="equal" aboveAverage="0" equalAverage="0" bottom="0" percent="0" rank="0" text="" dxfId="3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9"/>
  </cols>
  <sheetData>
    <row r="1" customFormat="false" ht="19.7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9" t="s">
        <v>99</v>
      </c>
      <c r="B4" s="9" t="s">
        <v>40</v>
      </c>
      <c r="C4" s="9" t="s">
        <v>100</v>
      </c>
      <c r="D4" s="9" t="s">
        <v>101</v>
      </c>
      <c r="E4" s="9" t="s">
        <v>102</v>
      </c>
      <c r="F4" s="9" t="s">
        <v>103</v>
      </c>
    </row>
    <row r="5" customFormat="false" ht="15" hidden="false" customHeight="false" outlineLevel="0" collapsed="false">
      <c r="A5" s="19" t="n">
        <v>1</v>
      </c>
      <c r="B5" s="10" t="str">
        <f aca="false">INDEX(Articles!$B$5:$B$19,MATCH(C5,Articles!$V$5:$V$19,0))</f>
        <v>Serviettes de table en tissu</v>
      </c>
      <c r="C5" s="17" t="n">
        <f aca="false">LARGE(Articles!$V$5:$V$19,A5)</f>
        <v>31500</v>
      </c>
      <c r="D5" s="23" t="n">
        <f aca="false">C5/SUM($C$5:$C$19)</f>
        <v>0.206705391664064</v>
      </c>
      <c r="E5" s="23" t="n">
        <f aca="false">SUM($D$5:D5)</f>
        <v>0.206705391664064</v>
      </c>
      <c r="F5" s="19" t="str">
        <f aca="false">IF(E5-D5&lt;Paramètres!$B$8,"A",IF(E5-D5&lt;Paramètres!$B$9,"B","C"))</f>
        <v>A</v>
      </c>
    </row>
    <row r="6" customFormat="false" ht="15" hidden="false" customHeight="false" outlineLevel="0" collapsed="false">
      <c r="A6" s="19" t="n">
        <v>2</v>
      </c>
      <c r="B6" s="10" t="str">
        <f aca="false">INDEX(Articles!$B$5:$B$19,MATCH(C6,Articles!$V$5:$V$19,0))</f>
        <v>Assiettes plates</v>
      </c>
      <c r="C6" s="17" t="n">
        <f aca="false">LARGE(Articles!$V$5:$V$19,A6)</f>
        <v>22272</v>
      </c>
      <c r="D6" s="23" t="n">
        <f aca="false">C6/SUM($C$5:$C$19)</f>
        <v>0.146150555020382</v>
      </c>
      <c r="E6" s="23" t="n">
        <f aca="false">SUM($D$5:D6)</f>
        <v>0.352855946684446</v>
      </c>
      <c r="F6" s="19" t="str">
        <f aca="false">IF(E6-D6&lt;Paramètres!$B$8,"A",IF(E6-D6&lt;Paramètres!$B$9,"B","C"))</f>
        <v>A</v>
      </c>
    </row>
    <row r="7" customFormat="false" ht="15" hidden="false" customHeight="false" outlineLevel="0" collapsed="false">
      <c r="A7" s="19" t="n">
        <v>3</v>
      </c>
      <c r="B7" s="10" t="str">
        <f aca="false">INDEX(Articles!$B$5:$B$19,MATCH(C7,Articles!$V$5:$V$19,0))</f>
        <v>Nappes rondes blanches</v>
      </c>
      <c r="C7" s="17" t="n">
        <f aca="false">LARGE(Articles!$V$5:$V$19,A7)</f>
        <v>13061</v>
      </c>
      <c r="D7" s="23" t="n">
        <f aca="false">C7/SUM($C$5:$C$19)</f>
        <v>0.0857072736674392</v>
      </c>
      <c r="E7" s="23" t="n">
        <f aca="false">SUM($D$5:D7)</f>
        <v>0.438563220351885</v>
      </c>
      <c r="F7" s="19" t="str">
        <f aca="false">IF(E7-D7&lt;Paramètres!$B$8,"A",IF(E7-D7&lt;Paramètres!$B$9,"B","C"))</f>
        <v>A</v>
      </c>
    </row>
    <row r="8" customFormat="false" ht="15" hidden="false" customHeight="false" outlineLevel="0" collapsed="false">
      <c r="A8" s="19" t="n">
        <v>4</v>
      </c>
      <c r="B8" s="10" t="str">
        <f aca="false">INDEX(Articles!$B$5:$B$19,MATCH(C8,Articles!$V$5:$V$19,0))</f>
        <v>Assiettes à dessert</v>
      </c>
      <c r="C8" s="17" t="n">
        <f aca="false">LARGE(Articles!$V$5:$V$19,A8)</f>
        <v>12576</v>
      </c>
      <c r="D8" s="23" t="n">
        <f aca="false">C8/SUM($C$5:$C$19)</f>
        <v>0.0825246668434052</v>
      </c>
      <c r="E8" s="23" t="n">
        <f aca="false">SUM($D$5:D8)</f>
        <v>0.52108788719529</v>
      </c>
      <c r="F8" s="19" t="str">
        <f aca="false">IF(E8-D8&lt;Paramètres!$B$8,"A",IF(E8-D8&lt;Paramètres!$B$9,"B","C"))</f>
        <v>A</v>
      </c>
    </row>
    <row r="9" customFormat="false" ht="15" hidden="false" customHeight="false" outlineLevel="0" collapsed="false">
      <c r="A9" s="19" t="n">
        <v>5</v>
      </c>
      <c r="B9" s="10" t="str">
        <f aca="false">INDEX(Articles!$B$5:$B$19,MATCH(C9,Articles!$V$5:$V$19,0))</f>
        <v>Verres à vin</v>
      </c>
      <c r="C9" s="17" t="n">
        <f aca="false">LARGE(Articles!$V$5:$V$19,A9)</f>
        <v>11736</v>
      </c>
      <c r="D9" s="23" t="n">
        <f aca="false">C9/SUM($C$5:$C$19)</f>
        <v>0.0770125230656969</v>
      </c>
      <c r="E9" s="23" t="n">
        <f aca="false">SUM($D$5:D9)</f>
        <v>0.598100410260987</v>
      </c>
      <c r="F9" s="19" t="str">
        <f aca="false">IF(E9-D9&lt;Paramètres!$B$8,"A",IF(E9-D9&lt;Paramètres!$B$9,"B","C"))</f>
        <v>A</v>
      </c>
    </row>
    <row r="10" customFormat="false" ht="15" hidden="false" customHeight="false" outlineLevel="0" collapsed="false">
      <c r="A10" s="19" t="n">
        <v>6</v>
      </c>
      <c r="B10" s="10" t="str">
        <f aca="false">INDEX(Articles!$B$5:$B$19,MATCH(C10,Articles!$V$5:$V$19,0))</f>
        <v>Couteaux</v>
      </c>
      <c r="C10" s="17" t="n">
        <f aca="false">LARGE(Articles!$V$5:$V$19,A10)</f>
        <v>9976</v>
      </c>
      <c r="D10" s="23" t="n">
        <f aca="false">C10/SUM($C$5:$C$19)</f>
        <v>0.0654632694362127</v>
      </c>
      <c r="E10" s="23" t="n">
        <f aca="false">SUM($D$5:D10)</f>
        <v>0.6635636796972</v>
      </c>
      <c r="F10" s="19" t="str">
        <f aca="false">IF(E10-D10&lt;Paramètres!$B$8,"A",IF(E10-D10&lt;Paramètres!$B$9,"B","C"))</f>
        <v>A</v>
      </c>
    </row>
    <row r="11" customFormat="false" ht="15" hidden="false" customHeight="false" outlineLevel="0" collapsed="false">
      <c r="A11" s="19" t="n">
        <v>7</v>
      </c>
      <c r="B11" s="10" t="str">
        <f aca="false">INDEX(Articles!$B$5:$B$19,MATCH(C11,Articles!$V$5:$V$19,0))</f>
        <v>Housses de chaise</v>
      </c>
      <c r="C11" s="17" t="n">
        <f aca="false">LARGE(Articles!$V$5:$V$19,A11)</f>
        <v>9975</v>
      </c>
      <c r="D11" s="23" t="n">
        <f aca="false">C11/SUM($C$5:$C$19)</f>
        <v>0.0654567073602868</v>
      </c>
      <c r="E11" s="23" t="n">
        <f aca="false">SUM($D$5:D11)</f>
        <v>0.729020387057487</v>
      </c>
      <c r="F11" s="19" t="str">
        <f aca="false">IF(E11-D11&lt;Paramètres!$B$8,"A",IF(E11-D11&lt;Paramètres!$B$9,"B","C"))</f>
        <v>A</v>
      </c>
    </row>
    <row r="12" customFormat="false" ht="15" hidden="false" customHeight="false" outlineLevel="0" collapsed="false">
      <c r="A12" s="19" t="n">
        <v>8</v>
      </c>
      <c r="B12" s="10" t="str">
        <f aca="false">INDEX(Articles!$B$5:$B$19,MATCH(C12,Articles!$V$5:$V$19,0))</f>
        <v>Fourchettes</v>
      </c>
      <c r="C12" s="17" t="n">
        <f aca="false">LARGE(Articles!$V$5:$V$19,A12)</f>
        <v>9555</v>
      </c>
      <c r="D12" s="23" t="n">
        <f aca="false">C12/SUM($C$5:$C$19)</f>
        <v>0.0627006354714327</v>
      </c>
      <c r="E12" s="23" t="n">
        <f aca="false">SUM($D$5:D12)</f>
        <v>0.791721022528919</v>
      </c>
      <c r="F12" s="19" t="str">
        <f aca="false">IF(E12-D12&lt;Paramètres!$B$8,"A",IF(E12-D12&lt;Paramètres!$B$9,"B","C"))</f>
        <v>A</v>
      </c>
    </row>
    <row r="13" customFormat="false" ht="15" hidden="false" customHeight="false" outlineLevel="0" collapsed="false">
      <c r="A13" s="19" t="n">
        <v>9</v>
      </c>
      <c r="B13" s="10" t="str">
        <f aca="false">INDEX(Articles!$B$5:$B$19,MATCH(C13,Articles!$V$5:$V$19,0))</f>
        <v>Verres à eau</v>
      </c>
      <c r="C13" s="17" t="n">
        <f aca="false">LARGE(Articles!$V$5:$V$19,A13)</f>
        <v>7896</v>
      </c>
      <c r="D13" s="23" t="n">
        <f aca="false">C13/SUM($C$5:$C$19)</f>
        <v>0.0518141515104586</v>
      </c>
      <c r="E13" s="23" t="n">
        <f aca="false">SUM($D$5:D13)</f>
        <v>0.843535174039378</v>
      </c>
      <c r="F13" s="19" t="str">
        <f aca="false">IF(E13-D13&lt;Paramètres!$B$8,"A",IF(E13-D13&lt;Paramètres!$B$9,"B","C"))</f>
        <v>A</v>
      </c>
    </row>
    <row r="14" customFormat="false" ht="15" hidden="false" customHeight="false" outlineLevel="0" collapsed="false">
      <c r="A14" s="19" t="n">
        <v>10</v>
      </c>
      <c r="B14" s="10" t="str">
        <f aca="false">INDEX(Articles!$B$5:$B$19,MATCH(C14,Articles!$V$5:$V$19,0))</f>
        <v>Chandelles</v>
      </c>
      <c r="C14" s="17" t="n">
        <f aca="false">LARGE(Articles!$V$5:$V$19,A14)</f>
        <v>7650</v>
      </c>
      <c r="D14" s="23" t="n">
        <f aca="false">C14/SUM($C$5:$C$19)</f>
        <v>0.0501998808327012</v>
      </c>
      <c r="E14" s="23" t="n">
        <f aca="false">SUM($D$5:D14)</f>
        <v>0.893735054872079</v>
      </c>
      <c r="F14" s="19" t="str">
        <f aca="false">IF(E14-D14&lt;Paramètres!$B$8,"A",IF(E14-D14&lt;Paramètres!$B$9,"B","C"))</f>
        <v>B</v>
      </c>
    </row>
    <row r="15" customFormat="false" ht="15" hidden="false" customHeight="false" outlineLevel="0" collapsed="false">
      <c r="A15" s="19" t="n">
        <v>11</v>
      </c>
      <c r="B15" s="10" t="str">
        <f aca="false">INDEX(Articles!$B$5:$B$19,MATCH(C15,Articles!$V$5:$V$19,0))</f>
        <v>Flûtes à champagne</v>
      </c>
      <c r="C15" s="17" t="n">
        <f aca="false">LARGE(Articles!$V$5:$V$19,A15)</f>
        <v>5772</v>
      </c>
      <c r="D15" s="23" t="n">
        <f aca="false">C15/SUM($C$5:$C$19)</f>
        <v>0.0378763022439675</v>
      </c>
      <c r="E15" s="23" t="n">
        <f aca="false">SUM($D$5:D15)</f>
        <v>0.931611357116047</v>
      </c>
      <c r="F15" s="19" t="str">
        <f aca="false">IF(E15-D15&lt;Paramètres!$B$8,"A",IF(E15-D15&lt;Paramètres!$B$9,"B","C"))</f>
        <v>B</v>
      </c>
    </row>
    <row r="16" customFormat="false" ht="15" hidden="false" customHeight="false" outlineLevel="0" collapsed="false">
      <c r="A16" s="19" t="n">
        <v>12</v>
      </c>
      <c r="B16" s="10" t="str">
        <f aca="false">INDEX(Articles!$B$5:$B$19,MATCH(C16,Articles!$V$5:$V$19,0))</f>
        <v>Bols à soupe</v>
      </c>
      <c r="C16" s="17" t="n">
        <f aca="false">LARGE(Articles!$V$5:$V$19,A16)</f>
        <v>3744</v>
      </c>
      <c r="D16" s="23" t="n">
        <f aca="false">C16/SUM($C$5:$C$19)</f>
        <v>0.0245684122663573</v>
      </c>
      <c r="E16" s="23" t="n">
        <f aca="false">SUM($D$5:D16)</f>
        <v>0.956179769382404</v>
      </c>
      <c r="F16" s="19" t="str">
        <f aca="false">IF(E16-D16&lt;Paramètres!$B$8,"A",IF(E16-D16&lt;Paramètres!$B$9,"B","C"))</f>
        <v>B</v>
      </c>
    </row>
    <row r="17" customFormat="false" ht="15" hidden="false" customHeight="false" outlineLevel="0" collapsed="false">
      <c r="A17" s="19" t="n">
        <v>13</v>
      </c>
      <c r="B17" s="10" t="str">
        <f aca="false">INDEX(Articles!$B$5:$B$19,MATCH(C17,Articles!$V$5:$V$19,0))</f>
        <v>Sacs à ordures (boîte)</v>
      </c>
      <c r="C17" s="17" t="n">
        <f aca="false">LARGE(Articles!$V$5:$V$19,A17)</f>
        <v>2784</v>
      </c>
      <c r="D17" s="23" t="n">
        <f aca="false">C17/SUM($C$5:$C$19)</f>
        <v>0.0182688193775477</v>
      </c>
      <c r="E17" s="23" t="n">
        <f aca="false">SUM($D$5:D17)</f>
        <v>0.974448588759952</v>
      </c>
      <c r="F17" s="19" t="str">
        <f aca="false">IF(E17-D17&lt;Paramètres!$B$8,"A",IF(E17-D17&lt;Paramètres!$B$9,"B","C"))</f>
        <v>C</v>
      </c>
    </row>
    <row r="18" customFormat="false" ht="15" hidden="false" customHeight="false" outlineLevel="0" collapsed="false">
      <c r="A18" s="19" t="n">
        <v>14</v>
      </c>
      <c r="B18" s="10" t="str">
        <f aca="false">INDEX(Articles!$B$5:$B$19,MATCH(C18,Articles!$V$5:$V$19,0))</f>
        <v>Détergent à vaisselle (bidon)</v>
      </c>
      <c r="C18" s="17" t="n">
        <f aca="false">LARGE(Articles!$V$5:$V$19,A18)</f>
        <v>2508</v>
      </c>
      <c r="D18" s="23" t="n">
        <f aca="false">C18/SUM($C$5:$C$19)</f>
        <v>0.016457686422015</v>
      </c>
      <c r="E18" s="23" t="n">
        <f aca="false">SUM($D$5:D18)</f>
        <v>0.990906275181966</v>
      </c>
      <c r="F18" s="19" t="str">
        <f aca="false">IF(E18-D18&lt;Paramètres!$B$8,"A",IF(E18-D18&lt;Paramètres!$B$9,"B","C"))</f>
        <v>C</v>
      </c>
    </row>
    <row r="19" customFormat="false" ht="15" hidden="false" customHeight="false" outlineLevel="0" collapsed="false">
      <c r="A19" s="19" t="n">
        <v>15</v>
      </c>
      <c r="B19" s="10" t="str">
        <f aca="false">INDEX(Articles!$B$5:$B$19,MATCH(C19,Articles!$V$5:$V$19,0))</f>
        <v>Serviettes en papier (100)</v>
      </c>
      <c r="C19" s="17" t="n">
        <f aca="false">LARGE(Articles!$V$5:$V$19,A19)</f>
        <v>1385.8</v>
      </c>
      <c r="D19" s="23" t="n">
        <f aca="false">C19/SUM($C$5:$C$19)</f>
        <v>0.00909372481803364</v>
      </c>
      <c r="E19" s="23" t="n">
        <f aca="false">SUM($D$5:D19)</f>
        <v>1</v>
      </c>
      <c r="F19" s="19" t="str">
        <f aca="false">IF(E19-D19&lt;Paramètres!$B$8,"A",IF(E19-D19&lt;Paramètres!$B$9,"B","C"))</f>
        <v>C</v>
      </c>
    </row>
  </sheetData>
  <conditionalFormatting sqref="F5:F19">
    <cfRule type="cellIs" priority="2" operator="equal" aboveAverage="0" equalAverage="0" bottom="0" percent="0" rank="0" text="" dxfId="4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9" t="s">
        <v>56</v>
      </c>
      <c r="B4" s="9" t="s">
        <v>106</v>
      </c>
      <c r="D4" s="9" t="s">
        <v>41</v>
      </c>
      <c r="E4" s="9" t="s">
        <v>59</v>
      </c>
      <c r="G4" s="9" t="s">
        <v>107</v>
      </c>
      <c r="H4" s="9" t="s">
        <v>108</v>
      </c>
    </row>
    <row r="5" customFormat="false" ht="15" hidden="false" customHeight="false" outlineLevel="0" collapsed="false">
      <c r="A5" s="10" t="s">
        <v>109</v>
      </c>
      <c r="B5" s="10" t="n">
        <f aca="false">COUNTIF(Articles!$R$5:$R$19,A5)</f>
        <v>1</v>
      </c>
      <c r="C5" s="24"/>
      <c r="D5" s="10" t="s">
        <v>63</v>
      </c>
      <c r="E5" s="17" t="n">
        <f aca="false">SUMIF(Articles!$C$5:$C$19,D5,Articles!$U$5:$U$19)</f>
        <v>8139</v>
      </c>
      <c r="F5" s="24"/>
      <c r="G5" s="10" t="s">
        <v>45</v>
      </c>
      <c r="H5" s="17" t="n">
        <f aca="false">SUMPRODUCT(Articles!G$5:G$19,Articles!$D$5:$D$19)</f>
        <v>9113.2</v>
      </c>
    </row>
    <row r="6" customFormat="false" ht="15" hidden="false" customHeight="false" outlineLevel="0" collapsed="false">
      <c r="A6" s="10" t="s">
        <v>110</v>
      </c>
      <c r="B6" s="10" t="n">
        <f aca="false">COUNTIF(Articles!$R$5:$R$19,A6)</f>
        <v>4</v>
      </c>
      <c r="C6" s="24"/>
      <c r="D6" s="10" t="s">
        <v>70</v>
      </c>
      <c r="E6" s="17" t="n">
        <f aca="false">SUMIF(Articles!$C$5:$C$19,D6,Articles!$U$5:$U$19)</f>
        <v>14308</v>
      </c>
      <c r="F6" s="24"/>
      <c r="G6" s="10" t="s">
        <v>46</v>
      </c>
      <c r="H6" s="17" t="n">
        <f aca="false">SUMPRODUCT(Articles!H$5:H$19,Articles!$D$5:$D$19)</f>
        <v>8457.5</v>
      </c>
    </row>
    <row r="7" customFormat="false" ht="15" hidden="false" customHeight="false" outlineLevel="0" collapsed="false">
      <c r="A7" s="10" t="s">
        <v>111</v>
      </c>
      <c r="B7" s="10" t="n">
        <f aca="false">COUNTIF(Articles!$R$5:$R$19,A7)</f>
        <v>7</v>
      </c>
      <c r="C7" s="24"/>
      <c r="D7" s="10" t="s">
        <v>81</v>
      </c>
      <c r="E7" s="17" t="n">
        <f aca="false">SUMIF(Articles!$C$5:$C$19,D7,Articles!$U$5:$U$19)</f>
        <v>2809</v>
      </c>
      <c r="F7" s="24"/>
      <c r="G7" s="10" t="s">
        <v>47</v>
      </c>
      <c r="H7" s="17" t="n">
        <f aca="false">SUMPRODUCT(Articles!I$5:I$19,Articles!$D$5:$D$19)</f>
        <v>10172</v>
      </c>
    </row>
    <row r="8" customFormat="false" ht="15" hidden="false" customHeight="false" outlineLevel="0" collapsed="false">
      <c r="A8" s="10" t="s">
        <v>112</v>
      </c>
      <c r="B8" s="10" t="n">
        <f aca="false">COUNTIF(Articles!$R$5:$R$19,A8)</f>
        <v>3</v>
      </c>
      <c r="C8" s="24"/>
      <c r="D8" s="10" t="s">
        <v>88</v>
      </c>
      <c r="E8" s="17" t="n">
        <f aca="false">SUMIF(Articles!$C$5:$C$19,D8,Articles!$U$5:$U$19)</f>
        <v>3929</v>
      </c>
      <c r="F8" s="24"/>
      <c r="G8" s="10" t="s">
        <v>48</v>
      </c>
      <c r="H8" s="17" t="n">
        <f aca="false">SUMPRODUCT(Articles!J$5:J$19,Articles!$D$5:$D$19)</f>
        <v>13395.5</v>
      </c>
    </row>
    <row r="9" customFormat="false" ht="15" hidden="false" customHeight="false" outlineLevel="0" collapsed="false">
      <c r="A9" s="24"/>
      <c r="B9" s="24"/>
      <c r="C9" s="24"/>
      <c r="D9" s="10" t="s">
        <v>95</v>
      </c>
      <c r="E9" s="17" t="n">
        <f aca="false">SUMIF(Articles!$C$5:$C$19,D9,Articles!$U$5:$U$19)</f>
        <v>0</v>
      </c>
      <c r="F9" s="24"/>
      <c r="G9" s="10" t="s">
        <v>49</v>
      </c>
      <c r="H9" s="17" t="n">
        <f aca="false">SUMPRODUCT(Articles!K$5:K$19,Articles!$D$5:$D$19)</f>
        <v>16429.4</v>
      </c>
    </row>
    <row r="10" customFormat="false" ht="15" hidden="false" customHeight="false" outlineLevel="0" collapsed="false">
      <c r="A10" s="24"/>
      <c r="B10" s="24"/>
      <c r="C10" s="24"/>
      <c r="D10" s="24"/>
      <c r="E10" s="25"/>
      <c r="F10" s="24"/>
      <c r="G10" s="10" t="s">
        <v>50</v>
      </c>
      <c r="H10" s="17" t="n">
        <f aca="false">SUMPRODUCT(Articles!L$5:L$19,Articles!$D$5:$D$19)</f>
        <v>18627.8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2026-10-22T08:40:30Z</dcterms:created>
  <dc:creator>openpyxl</dc:creator>
  <dc:description/>
  <dc:language>en-US</dc:language>
  <cp:lastModifiedBy/>
  <dcterms:modified xsi:type="dcterms:W3CDTF">2026-10-22T04:40:32Z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